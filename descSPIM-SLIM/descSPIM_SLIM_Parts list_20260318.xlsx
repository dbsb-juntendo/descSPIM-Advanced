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ckup_titech/Desktop/SLIM/"/>
    </mc:Choice>
  </mc:AlternateContent>
  <xr:revisionPtr revIDLastSave="0" documentId="8_{F3375A6E-200A-CE43-A38F-43D7E6F170C0}" xr6:coauthVersionLast="47" xr6:coauthVersionMax="47" xr10:uidLastSave="{00000000-0000-0000-0000-000000000000}"/>
  <bookViews>
    <workbookView xWindow="4200" yWindow="-20760" windowWidth="22360" windowHeight="20700" xr2:uid="{4A9AFD13-4D92-470E-BAF3-827785EB8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" l="1"/>
  <c r="E41" i="1"/>
  <c r="E54" i="1"/>
  <c r="E53" i="1"/>
  <c r="E52" i="1"/>
  <c r="E67" i="1"/>
  <c r="E65" i="1"/>
  <c r="E11" i="1"/>
  <c r="E62" i="1"/>
  <c r="E61" i="1"/>
  <c r="E47" i="1"/>
  <c r="E48" i="1"/>
  <c r="E49" i="1"/>
  <c r="E50" i="1"/>
  <c r="E51" i="1"/>
  <c r="E55" i="1"/>
  <c r="E56" i="1"/>
  <c r="E44" i="1"/>
  <c r="E45" i="1"/>
  <c r="E40" i="1"/>
  <c r="E42" i="1"/>
  <c r="E43" i="1"/>
  <c r="E46" i="1"/>
  <c r="E32" i="1"/>
  <c r="E7" i="1"/>
  <c r="E8" i="1"/>
  <c r="E9" i="1"/>
  <c r="E12" i="1"/>
  <c r="E13" i="1"/>
  <c r="E14" i="1"/>
  <c r="E15" i="1"/>
  <c r="E16" i="1"/>
  <c r="E17" i="1"/>
  <c r="E18" i="1"/>
  <c r="E19" i="1"/>
  <c r="E20" i="1"/>
  <c r="E21" i="1"/>
  <c r="E22" i="1"/>
  <c r="E24" i="1"/>
  <c r="E25" i="1"/>
  <c r="E26" i="1"/>
  <c r="E27" i="1"/>
  <c r="E29" i="1"/>
  <c r="E30" i="1"/>
  <c r="E31" i="1"/>
  <c r="E33" i="1"/>
  <c r="E34" i="1"/>
  <c r="E35" i="1"/>
  <c r="E36" i="1"/>
  <c r="E37" i="1"/>
  <c r="E38" i="1"/>
  <c r="E57" i="1"/>
  <c r="E58" i="1"/>
  <c r="E59" i="1"/>
  <c r="E60" i="1"/>
  <c r="E63" i="1"/>
  <c r="E6" i="1"/>
  <c r="D2" i="1" l="1"/>
</calcChain>
</file>

<file path=xl/sharedStrings.xml><?xml version="1.0" encoding="utf-8"?>
<sst xmlns="http://schemas.openxmlformats.org/spreadsheetml/2006/main" count="142" uniqueCount="123">
  <si>
    <t>MB2025/M</t>
    <phoneticPr fontId="1"/>
  </si>
  <si>
    <t>Catalog ID</t>
    <phoneticPr fontId="1"/>
  </si>
  <si>
    <t>Quantity</t>
    <phoneticPr fontId="1"/>
  </si>
  <si>
    <t>Price for one</t>
    <phoneticPr fontId="1"/>
  </si>
  <si>
    <t>Subtotal</t>
    <phoneticPr fontId="1"/>
  </si>
  <si>
    <t>PH100/M</t>
    <phoneticPr fontId="1"/>
  </si>
  <si>
    <t>TR100/M</t>
    <phoneticPr fontId="1"/>
  </si>
  <si>
    <t>Base</t>
    <phoneticPr fontId="1"/>
  </si>
  <si>
    <t>RLA075/M</t>
    <phoneticPr fontId="1"/>
  </si>
  <si>
    <t>Illumination train</t>
    <phoneticPr fontId="1"/>
  </si>
  <si>
    <t>Compact laser module, 520 nm</t>
    <phoneticPr fontId="1"/>
  </si>
  <si>
    <t>Product</t>
    <phoneticPr fontId="1"/>
  </si>
  <si>
    <t>Compact laser module, 635 nm</t>
    <phoneticPr fontId="1"/>
  </si>
  <si>
    <t>KAD11F</t>
    <phoneticPr fontId="1"/>
  </si>
  <si>
    <t>Laser module adaptor</t>
    <phoneticPr fontId="1"/>
  </si>
  <si>
    <t>CP33/M</t>
    <phoneticPr fontId="1"/>
  </si>
  <si>
    <t>CP1M09/M</t>
    <phoneticPr fontId="1"/>
  </si>
  <si>
    <t>SM1-30 mm cage plate</t>
    <phoneticPr fontId="1"/>
  </si>
  <si>
    <t>M09 x 0.5-30 mm cage plate</t>
    <phoneticPr fontId="1"/>
  </si>
  <si>
    <t>AC254-100-A-ML</t>
    <phoneticPr fontId="1"/>
  </si>
  <si>
    <t>Achromatic lens, f = 100 mm</t>
    <phoneticPr fontId="1"/>
  </si>
  <si>
    <t>CP33C/M</t>
    <phoneticPr fontId="1"/>
  </si>
  <si>
    <t>30 mm cage bracket</t>
    <phoneticPr fontId="1"/>
  </si>
  <si>
    <t>ER8-P4</t>
    <phoneticPr fontId="1"/>
  </si>
  <si>
    <t>203.2 mm rods (4x)</t>
    <phoneticPr fontId="1"/>
  </si>
  <si>
    <t>KCB1EC/M</t>
    <phoneticPr fontId="1"/>
  </si>
  <si>
    <t>BBE1-E02</t>
    <phoneticPr fontId="1"/>
  </si>
  <si>
    <t>Elliptical mirror, 400-750 nm</t>
    <phoneticPr fontId="1"/>
  </si>
  <si>
    <t>Detection train</t>
    <phoneticPr fontId="1"/>
  </si>
  <si>
    <t>VA100CP/M</t>
    <phoneticPr fontId="1"/>
  </si>
  <si>
    <t>Adjustable slit for 30 mm cage</t>
    <phoneticPr fontId="1"/>
  </si>
  <si>
    <t>CP35/M</t>
    <phoneticPr fontId="1"/>
  </si>
  <si>
    <t>25 mm lens-30 cage plate</t>
    <phoneticPr fontId="1"/>
  </si>
  <si>
    <t>ACY254-100-A</t>
  </si>
  <si>
    <t>Cylindrical achromatic lens, f = 100 mm</t>
    <phoneticPr fontId="1"/>
  </si>
  <si>
    <t>ER4-P4</t>
  </si>
  <si>
    <t>101.6 mm rods (4x)</t>
    <phoneticPr fontId="1"/>
  </si>
  <si>
    <t>Stage system</t>
    <phoneticPr fontId="1"/>
  </si>
  <si>
    <t>XR25P/M</t>
    <phoneticPr fontId="1"/>
  </si>
  <si>
    <t>25 mm axial stage</t>
    <phoneticPr fontId="1"/>
  </si>
  <si>
    <t>XR25-XZ/M</t>
    <phoneticPr fontId="1"/>
  </si>
  <si>
    <t>Stage assembly kit</t>
    <phoneticPr fontId="1"/>
  </si>
  <si>
    <t>ZST225B</t>
    <phoneticPr fontId="1"/>
  </si>
  <si>
    <t>25 mm stepping moter actuator</t>
    <phoneticPr fontId="1"/>
  </si>
  <si>
    <t>Actuator controller</t>
    <phoneticPr fontId="1"/>
  </si>
  <si>
    <t>KST201</t>
    <phoneticPr fontId="1"/>
  </si>
  <si>
    <t>KPS201</t>
    <phoneticPr fontId="1"/>
  </si>
  <si>
    <t>Power supply</t>
    <phoneticPr fontId="1"/>
  </si>
  <si>
    <t>300 mm dovetail rale</t>
    <phoneticPr fontId="1"/>
  </si>
  <si>
    <t>RC1</t>
    <phoneticPr fontId="1"/>
  </si>
  <si>
    <t>Rale carrier</t>
    <phoneticPr fontId="1"/>
  </si>
  <si>
    <t>PH20/M</t>
    <phoneticPr fontId="1"/>
  </si>
  <si>
    <t>20 mm post holder</t>
    <phoneticPr fontId="1"/>
  </si>
  <si>
    <t>TR20/M</t>
    <phoneticPr fontId="1"/>
  </si>
  <si>
    <t>20 mm post</t>
    <phoneticPr fontId="1"/>
  </si>
  <si>
    <t>KM05S/M</t>
    <phoneticPr fontId="1"/>
  </si>
  <si>
    <t>12.7 mm square mount</t>
    <phoneticPr fontId="1"/>
  </si>
  <si>
    <t>TL2X-SAP</t>
    <phoneticPr fontId="1"/>
  </si>
  <si>
    <t>2x objective lens</t>
    <phoneticPr fontId="1"/>
  </si>
  <si>
    <t>CT1B/M</t>
    <phoneticPr fontId="1"/>
  </si>
  <si>
    <t>13 mm z-axial stage</t>
    <phoneticPr fontId="1"/>
  </si>
  <si>
    <t>ZFS25B</t>
    <phoneticPr fontId="1"/>
  </si>
  <si>
    <t>25 mm small stepping moter actuator</t>
    <phoneticPr fontId="1"/>
  </si>
  <si>
    <t>ER4-P4</t>
    <phoneticPr fontId="1"/>
  </si>
  <si>
    <t>ER05-P4</t>
    <phoneticPr fontId="1"/>
  </si>
  <si>
    <t>12.7 mm rods (4x)</t>
    <phoneticPr fontId="1"/>
  </si>
  <si>
    <t>RCA7</t>
    <phoneticPr fontId="1"/>
  </si>
  <si>
    <t>Rale-30 mm cage plate</t>
    <phoneticPr fontId="1"/>
  </si>
  <si>
    <t>SM1QP</t>
    <phoneticPr fontId="1"/>
  </si>
  <si>
    <t>Filter holder tube</t>
    <phoneticPr fontId="1"/>
  </si>
  <si>
    <t>SM1A2</t>
    <phoneticPr fontId="1"/>
  </si>
  <si>
    <t>SM1-SM2 adaptor</t>
    <phoneticPr fontId="1"/>
  </si>
  <si>
    <t>TTL100-A</t>
  </si>
  <si>
    <t>Tube lens, f = 100 mm</t>
    <phoneticPr fontId="1"/>
  </si>
  <si>
    <t>SM1 tube, 25.4 mm</t>
    <phoneticPr fontId="1"/>
  </si>
  <si>
    <t>Adjustable SM1 tube</t>
    <phoneticPr fontId="1"/>
  </si>
  <si>
    <t>SM1P2</t>
    <phoneticPr fontId="1"/>
  </si>
  <si>
    <t>SM1 adaptor</t>
    <phoneticPr fontId="1"/>
  </si>
  <si>
    <t>SM1 adaptor mount</t>
    <phoneticPr fontId="1"/>
  </si>
  <si>
    <t>LP126MU/M</t>
    <phoneticPr fontId="1"/>
  </si>
  <si>
    <t>Monochrome CMOS</t>
    <phoneticPr fontId="1"/>
  </si>
  <si>
    <t>Right-angle mirror mount for 30 mm</t>
    <phoneticPr fontId="1"/>
  </si>
  <si>
    <t>250 x 200 mm breadboard</t>
    <phoneticPr fontId="1"/>
  </si>
  <si>
    <t>100 mm post holder</t>
    <phoneticPr fontId="1"/>
  </si>
  <si>
    <t>100 mm post</t>
    <phoneticPr fontId="1"/>
  </si>
  <si>
    <t>75 mm rale</t>
    <phoneticPr fontId="1"/>
  </si>
  <si>
    <t>Total</t>
    <phoneticPr fontId="1"/>
  </si>
  <si>
    <t>PL251</t>
    <phoneticPr fontId="1"/>
  </si>
  <si>
    <t>PL252</t>
    <phoneticPr fontId="1"/>
  </si>
  <si>
    <t>C061TMD-A</t>
    <phoneticPr fontId="1"/>
  </si>
  <si>
    <t>Aspheric lens, f = 11 mm</t>
    <phoneticPr fontId="1"/>
  </si>
  <si>
    <t>SM1V05</t>
    <phoneticPr fontId="1"/>
  </si>
  <si>
    <t>*optional</t>
  </si>
  <si>
    <t>*optional</t>
    <phoneticPr fontId="1"/>
  </si>
  <si>
    <t>SM1L03</t>
    <phoneticPr fontId="1"/>
  </si>
  <si>
    <t>SM1M05</t>
    <phoneticPr fontId="1"/>
  </si>
  <si>
    <t>RLA300/M</t>
    <phoneticPr fontId="1"/>
  </si>
  <si>
    <t>SM1AB2</t>
    <phoneticPr fontId="1"/>
  </si>
  <si>
    <t>Others</t>
    <phoneticPr fontId="1"/>
  </si>
  <si>
    <t>TC3/M</t>
    <phoneticPr fontId="1"/>
  </si>
  <si>
    <t>Metric Hex wrenches</t>
    <phoneticPr fontId="1"/>
  </si>
  <si>
    <t>M4 and M6 screws</t>
    <phoneticPr fontId="1"/>
  </si>
  <si>
    <t>*If you don't have</t>
    <phoneticPr fontId="1"/>
  </si>
  <si>
    <t>VRC2CPT</t>
    <phoneticPr fontId="1"/>
  </si>
  <si>
    <t xml:space="preserve">30 mm Cage System Alignment Plate </t>
    <phoneticPr fontId="1"/>
  </si>
  <si>
    <t>SM1L10</t>
    <phoneticPr fontId="1"/>
  </si>
  <si>
    <t>Compact laser module, 405 nm</t>
    <phoneticPr fontId="1"/>
  </si>
  <si>
    <t>PL255</t>
    <phoneticPr fontId="1"/>
  </si>
  <si>
    <t>FBH450-40</t>
    <phoneticPr fontId="1"/>
  </si>
  <si>
    <t>Bandpass Filter CWL = 450 nm, FWHM = 40 nm</t>
    <phoneticPr fontId="1"/>
  </si>
  <si>
    <t>FBH550-40</t>
    <phoneticPr fontId="1"/>
  </si>
  <si>
    <t>Bandpass Filter CWL = 550 nm, FWHM = 40 nm</t>
    <phoneticPr fontId="1"/>
  </si>
  <si>
    <t>FBH670-40</t>
    <phoneticPr fontId="1"/>
  </si>
  <si>
    <t>Bandpass Filter CWL = 670 nm, FWHM = 40 nm</t>
    <phoneticPr fontId="1"/>
  </si>
  <si>
    <t>*depends on fluorophore</t>
    <phoneticPr fontId="1"/>
  </si>
  <si>
    <t>K. Otomo, AL. Yoshikawa, Y. Nozawa, EA. Susaki</t>
    <phoneticPr fontId="1"/>
  </si>
  <si>
    <t>SM1A12</t>
    <phoneticPr fontId="1"/>
  </si>
  <si>
    <t>Adapter with External SM1, Internal M25</t>
    <phoneticPr fontId="1"/>
  </si>
  <si>
    <t>SPW602</t>
    <phoneticPr fontId="1"/>
  </si>
  <si>
    <t>Spanner Wrench for SM1-Thread</t>
    <phoneticPr fontId="1"/>
  </si>
  <si>
    <t>BD-3/32</t>
    <phoneticPr fontId="1"/>
  </si>
  <si>
    <t>3/32" Balldriver</t>
    <phoneticPr fontId="1"/>
  </si>
  <si>
    <t>Parts list of descSPIM slim (ver. 20260318)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</si>
</sst>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 (本文)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2" xfId="0" applyBorder="1">
      <alignment vertical="center"/>
    </xf>
    <xf numFmtId="176" fontId="0" fillId="0" borderId="3" xfId="0" applyNumberFormat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3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3" fillId="0" borderId="1" xfId="0" applyFont="1" applyBorder="1">
      <alignment vertical="center"/>
    </xf>
    <xf numFmtId="176" fontId="3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6C80C-54AB-490F-8DA8-E8FBD898790D}">
  <dimension ref="A1:G156"/>
  <sheetViews>
    <sheetView showGridLines="0" tabSelected="1" zoomScale="86" workbookViewId="0">
      <selection activeCell="I17" sqref="I17"/>
    </sheetView>
  </sheetViews>
  <sheetFormatPr baseColWidth="10" defaultColWidth="8.83203125" defaultRowHeight="18"/>
  <cols>
    <col min="1" max="1" width="17.33203125" customWidth="1"/>
    <col min="2" max="2" width="39.1640625" customWidth="1"/>
    <col min="3" max="3" width="8.83203125" customWidth="1"/>
    <col min="4" max="4" width="13.1640625" customWidth="1"/>
    <col min="5" max="5" width="12.33203125" customWidth="1"/>
  </cols>
  <sheetData>
    <row r="1" spans="1:7">
      <c r="A1" t="s">
        <v>122</v>
      </c>
    </row>
    <row r="2" spans="1:7">
      <c r="A2" t="s">
        <v>115</v>
      </c>
      <c r="C2" s="4" t="s">
        <v>86</v>
      </c>
      <c r="D2" s="5">
        <f>SUM(E:E)</f>
        <v>2341912</v>
      </c>
    </row>
    <row r="4" spans="1:7">
      <c r="A4" s="2" t="s">
        <v>1</v>
      </c>
      <c r="B4" s="2" t="s">
        <v>11</v>
      </c>
      <c r="C4" s="2" t="s">
        <v>2</v>
      </c>
      <c r="D4" s="2" t="s">
        <v>3</v>
      </c>
      <c r="E4" s="2" t="s">
        <v>4</v>
      </c>
    </row>
    <row r="5" spans="1:7">
      <c r="A5" t="s">
        <v>7</v>
      </c>
      <c r="D5" s="1"/>
      <c r="E5" s="1"/>
    </row>
    <row r="6" spans="1:7">
      <c r="A6" t="s">
        <v>0</v>
      </c>
      <c r="B6" t="s">
        <v>82</v>
      </c>
      <c r="C6">
        <v>1</v>
      </c>
      <c r="D6" s="1">
        <v>22854</v>
      </c>
      <c r="E6" s="1">
        <f>D6*C6</f>
        <v>22854</v>
      </c>
    </row>
    <row r="7" spans="1:7">
      <c r="A7" t="s">
        <v>5</v>
      </c>
      <c r="B7" t="s">
        <v>83</v>
      </c>
      <c r="C7">
        <v>2</v>
      </c>
      <c r="D7" s="1">
        <v>1565</v>
      </c>
      <c r="E7" s="1">
        <f t="shared" ref="E7:E63" si="0">D7*C7</f>
        <v>3130</v>
      </c>
    </row>
    <row r="8" spans="1:7">
      <c r="A8" t="s">
        <v>6</v>
      </c>
      <c r="B8" t="s">
        <v>84</v>
      </c>
      <c r="C8">
        <v>2</v>
      </c>
      <c r="D8" s="1">
        <v>978</v>
      </c>
      <c r="E8" s="1">
        <f t="shared" si="0"/>
        <v>1956</v>
      </c>
    </row>
    <row r="9" spans="1:7">
      <c r="A9" s="2" t="s">
        <v>8</v>
      </c>
      <c r="B9" s="2" t="s">
        <v>85</v>
      </c>
      <c r="C9" s="2">
        <v>1</v>
      </c>
      <c r="D9" s="3">
        <v>4962</v>
      </c>
      <c r="E9" s="3">
        <f t="shared" si="0"/>
        <v>4962</v>
      </c>
    </row>
    <row r="10" spans="1:7">
      <c r="A10" t="s">
        <v>9</v>
      </c>
      <c r="D10" s="1"/>
      <c r="E10" s="1"/>
    </row>
    <row r="11" spans="1:7">
      <c r="A11" s="7" t="s">
        <v>107</v>
      </c>
      <c r="B11" s="8" t="s">
        <v>106</v>
      </c>
      <c r="C11" s="7">
        <v>1</v>
      </c>
      <c r="D11" s="9">
        <v>33636</v>
      </c>
      <c r="E11" s="9">
        <f t="shared" si="0"/>
        <v>33636</v>
      </c>
      <c r="F11" s="7"/>
      <c r="G11" s="7"/>
    </row>
    <row r="12" spans="1:7">
      <c r="A12" s="7" t="s">
        <v>87</v>
      </c>
      <c r="B12" s="7" t="s">
        <v>10</v>
      </c>
      <c r="C12" s="7">
        <v>1</v>
      </c>
      <c r="D12" s="9">
        <v>31325</v>
      </c>
      <c r="E12" s="9">
        <f t="shared" si="0"/>
        <v>31325</v>
      </c>
      <c r="F12" s="7"/>
      <c r="G12" s="7"/>
    </row>
    <row r="13" spans="1:7">
      <c r="A13" s="7" t="s">
        <v>88</v>
      </c>
      <c r="B13" s="7" t="s">
        <v>12</v>
      </c>
      <c r="C13" s="7">
        <v>1</v>
      </c>
      <c r="D13" s="9">
        <v>24986</v>
      </c>
      <c r="E13" s="9">
        <f t="shared" si="0"/>
        <v>24986</v>
      </c>
      <c r="F13" s="7"/>
      <c r="G13" s="7"/>
    </row>
    <row r="14" spans="1:7">
      <c r="A14" s="7" t="s">
        <v>13</v>
      </c>
      <c r="B14" s="7" t="s">
        <v>14</v>
      </c>
      <c r="C14" s="7">
        <v>1</v>
      </c>
      <c r="D14" s="9">
        <v>11230</v>
      </c>
      <c r="E14" s="9">
        <f t="shared" si="0"/>
        <v>11230</v>
      </c>
      <c r="F14" s="7"/>
      <c r="G14" s="7"/>
    </row>
    <row r="15" spans="1:7">
      <c r="A15" s="7" t="s">
        <v>15</v>
      </c>
      <c r="B15" s="7" t="s">
        <v>17</v>
      </c>
      <c r="C15" s="7">
        <v>1</v>
      </c>
      <c r="D15" s="9">
        <v>2799</v>
      </c>
      <c r="E15" s="9">
        <f t="shared" si="0"/>
        <v>2799</v>
      </c>
      <c r="F15" s="7"/>
      <c r="G15" s="7"/>
    </row>
    <row r="16" spans="1:7">
      <c r="A16" s="7" t="s">
        <v>89</v>
      </c>
      <c r="B16" s="7" t="s">
        <v>90</v>
      </c>
      <c r="C16" s="7">
        <v>1</v>
      </c>
      <c r="D16" s="9">
        <v>12982</v>
      </c>
      <c r="E16" s="9">
        <f t="shared" si="0"/>
        <v>12982</v>
      </c>
      <c r="F16" s="7"/>
      <c r="G16" s="7"/>
    </row>
    <row r="17" spans="1:7">
      <c r="A17" s="7" t="s">
        <v>16</v>
      </c>
      <c r="B17" s="7" t="s">
        <v>18</v>
      </c>
      <c r="C17" s="7">
        <v>1</v>
      </c>
      <c r="D17" s="9">
        <v>6286</v>
      </c>
      <c r="E17" s="9">
        <f t="shared" si="0"/>
        <v>6286</v>
      </c>
      <c r="F17" s="7"/>
      <c r="G17" s="7"/>
    </row>
    <row r="18" spans="1:7">
      <c r="A18" s="7" t="s">
        <v>19</v>
      </c>
      <c r="B18" s="7" t="s">
        <v>20</v>
      </c>
      <c r="C18" s="7">
        <v>1</v>
      </c>
      <c r="D18" s="9">
        <v>17066</v>
      </c>
      <c r="E18" s="9">
        <f t="shared" si="0"/>
        <v>17066</v>
      </c>
      <c r="F18" s="7"/>
      <c r="G18" s="7"/>
    </row>
    <row r="19" spans="1:7">
      <c r="A19" s="7" t="s">
        <v>21</v>
      </c>
      <c r="B19" s="7" t="s">
        <v>22</v>
      </c>
      <c r="C19" s="7">
        <v>2</v>
      </c>
      <c r="D19" s="9">
        <v>3588</v>
      </c>
      <c r="E19" s="9">
        <f t="shared" si="0"/>
        <v>7176</v>
      </c>
      <c r="F19" s="7"/>
      <c r="G19" s="7"/>
    </row>
    <row r="20" spans="1:7">
      <c r="A20" s="7" t="s">
        <v>23</v>
      </c>
      <c r="B20" s="7" t="s">
        <v>24</v>
      </c>
      <c r="C20" s="7">
        <v>1</v>
      </c>
      <c r="D20" s="9">
        <v>7049</v>
      </c>
      <c r="E20" s="9">
        <f t="shared" si="0"/>
        <v>7049</v>
      </c>
      <c r="F20" s="7"/>
      <c r="G20" s="7"/>
    </row>
    <row r="21" spans="1:7">
      <c r="A21" s="7" t="s">
        <v>25</v>
      </c>
      <c r="B21" s="7" t="s">
        <v>81</v>
      </c>
      <c r="C21" s="7">
        <v>2</v>
      </c>
      <c r="D21" s="9">
        <v>32665</v>
      </c>
      <c r="E21" s="9">
        <f t="shared" si="0"/>
        <v>65330</v>
      </c>
      <c r="F21" s="7"/>
      <c r="G21" s="7"/>
    </row>
    <row r="22" spans="1:7" ht="20" customHeight="1">
      <c r="A22" s="7" t="s">
        <v>26</v>
      </c>
      <c r="B22" s="7" t="s">
        <v>27</v>
      </c>
      <c r="C22" s="7">
        <v>2</v>
      </c>
      <c r="D22" s="9">
        <v>19116</v>
      </c>
      <c r="E22" s="9">
        <f t="shared" si="0"/>
        <v>38232</v>
      </c>
      <c r="F22" s="7"/>
      <c r="G22" s="7"/>
    </row>
    <row r="23" spans="1:7">
      <c r="A23" s="8" t="s">
        <v>64</v>
      </c>
      <c r="B23" s="8" t="s">
        <v>65</v>
      </c>
      <c r="C23" s="8">
        <v>1</v>
      </c>
      <c r="D23" s="10">
        <v>3043</v>
      </c>
      <c r="E23" s="10">
        <f t="shared" ref="E23" si="1">D23*C23</f>
        <v>3043</v>
      </c>
      <c r="F23" s="7"/>
      <c r="G23" s="7"/>
    </row>
    <row r="24" spans="1:7">
      <c r="A24" s="7" t="s">
        <v>29</v>
      </c>
      <c r="B24" s="7" t="s">
        <v>30</v>
      </c>
      <c r="C24" s="7">
        <v>1</v>
      </c>
      <c r="D24" s="9">
        <v>46321</v>
      </c>
      <c r="E24" s="9">
        <f t="shared" si="0"/>
        <v>46321</v>
      </c>
      <c r="F24" s="7"/>
      <c r="G24" s="7"/>
    </row>
    <row r="25" spans="1:7">
      <c r="A25" s="7" t="s">
        <v>31</v>
      </c>
      <c r="B25" s="7" t="s">
        <v>32</v>
      </c>
      <c r="C25" s="7">
        <v>1</v>
      </c>
      <c r="D25" s="9">
        <v>3156</v>
      </c>
      <c r="E25" s="9">
        <f t="shared" si="0"/>
        <v>3156</v>
      </c>
      <c r="F25" s="7"/>
      <c r="G25" s="7"/>
    </row>
    <row r="26" spans="1:7">
      <c r="A26" s="7" t="s">
        <v>33</v>
      </c>
      <c r="B26" s="7" t="s">
        <v>34</v>
      </c>
      <c r="C26" s="7">
        <v>1</v>
      </c>
      <c r="D26" s="9">
        <v>65476</v>
      </c>
      <c r="E26" s="9">
        <f t="shared" si="0"/>
        <v>65476</v>
      </c>
      <c r="F26" s="7"/>
      <c r="G26" s="7"/>
    </row>
    <row r="27" spans="1:7">
      <c r="A27" s="11" t="s">
        <v>35</v>
      </c>
      <c r="B27" s="11" t="s">
        <v>36</v>
      </c>
      <c r="C27" s="11">
        <v>1</v>
      </c>
      <c r="D27" s="12">
        <v>4277</v>
      </c>
      <c r="E27" s="12">
        <f t="shared" si="0"/>
        <v>4277</v>
      </c>
      <c r="F27" s="7"/>
      <c r="G27" s="7"/>
    </row>
    <row r="28" spans="1:7">
      <c r="A28" s="7" t="s">
        <v>37</v>
      </c>
      <c r="B28" s="7"/>
      <c r="C28" s="7"/>
      <c r="D28" s="9"/>
      <c r="E28" s="9"/>
      <c r="F28" s="7"/>
      <c r="G28" s="7"/>
    </row>
    <row r="29" spans="1:7">
      <c r="A29" s="7" t="s">
        <v>38</v>
      </c>
      <c r="B29" s="7" t="s">
        <v>39</v>
      </c>
      <c r="C29" s="7">
        <v>3</v>
      </c>
      <c r="D29" s="9">
        <v>73687</v>
      </c>
      <c r="E29" s="9">
        <f t="shared" si="0"/>
        <v>221061</v>
      </c>
      <c r="F29" s="7"/>
      <c r="G29" s="7"/>
    </row>
    <row r="30" spans="1:7">
      <c r="A30" s="7" t="s">
        <v>40</v>
      </c>
      <c r="B30" s="7" t="s">
        <v>41</v>
      </c>
      <c r="C30" s="7">
        <v>1</v>
      </c>
      <c r="D30" s="9">
        <v>24316</v>
      </c>
      <c r="E30" s="9">
        <f t="shared" si="0"/>
        <v>24316</v>
      </c>
      <c r="F30" s="7"/>
      <c r="G30" s="7"/>
    </row>
    <row r="31" spans="1:7">
      <c r="A31" s="7" t="s">
        <v>42</v>
      </c>
      <c r="B31" s="7" t="s">
        <v>43</v>
      </c>
      <c r="C31" s="7">
        <v>1</v>
      </c>
      <c r="D31" s="9">
        <v>170307</v>
      </c>
      <c r="E31" s="9">
        <f t="shared" si="0"/>
        <v>170307</v>
      </c>
      <c r="F31" s="7"/>
      <c r="G31" s="7"/>
    </row>
    <row r="32" spans="1:7">
      <c r="A32" s="7" t="s">
        <v>45</v>
      </c>
      <c r="B32" s="7" t="s">
        <v>44</v>
      </c>
      <c r="C32" s="7">
        <v>1</v>
      </c>
      <c r="D32" s="9">
        <v>113265</v>
      </c>
      <c r="E32" s="9">
        <f>D32*C32</f>
        <v>113265</v>
      </c>
      <c r="F32" s="7"/>
      <c r="G32" s="7"/>
    </row>
    <row r="33" spans="1:7">
      <c r="A33" s="7" t="s">
        <v>46</v>
      </c>
      <c r="B33" s="7" t="s">
        <v>47</v>
      </c>
      <c r="C33" s="7">
        <v>1</v>
      </c>
      <c r="D33" s="9">
        <v>5912</v>
      </c>
      <c r="E33" s="9">
        <f t="shared" si="0"/>
        <v>5912</v>
      </c>
      <c r="F33" s="7"/>
      <c r="G33" s="7"/>
    </row>
    <row r="34" spans="1:7">
      <c r="A34" s="7" t="s">
        <v>96</v>
      </c>
      <c r="B34" s="7" t="s">
        <v>48</v>
      </c>
      <c r="C34" s="7">
        <v>1</v>
      </c>
      <c r="D34" s="9">
        <v>13019</v>
      </c>
      <c r="E34" s="9">
        <f t="shared" si="0"/>
        <v>13019</v>
      </c>
      <c r="F34" s="7"/>
      <c r="G34" s="7"/>
    </row>
    <row r="35" spans="1:7">
      <c r="A35" s="7" t="s">
        <v>49</v>
      </c>
      <c r="B35" s="7" t="s">
        <v>50</v>
      </c>
      <c r="C35" s="7">
        <v>1</v>
      </c>
      <c r="D35" s="9">
        <v>4335</v>
      </c>
      <c r="E35" s="9">
        <f t="shared" si="0"/>
        <v>4335</v>
      </c>
      <c r="F35" s="7"/>
      <c r="G35" s="7"/>
    </row>
    <row r="36" spans="1:7">
      <c r="A36" s="7" t="s">
        <v>51</v>
      </c>
      <c r="B36" s="7" t="s">
        <v>52</v>
      </c>
      <c r="C36" s="7">
        <v>1</v>
      </c>
      <c r="D36" s="9">
        <v>1197</v>
      </c>
      <c r="E36" s="9">
        <f t="shared" si="0"/>
        <v>1197</v>
      </c>
      <c r="F36" s="7"/>
      <c r="G36" s="7"/>
    </row>
    <row r="37" spans="1:7">
      <c r="A37" s="7" t="s">
        <v>53</v>
      </c>
      <c r="B37" s="7" t="s">
        <v>54</v>
      </c>
      <c r="C37" s="7">
        <v>1</v>
      </c>
      <c r="D37" s="9">
        <v>789</v>
      </c>
      <c r="E37" s="9">
        <f t="shared" si="0"/>
        <v>789</v>
      </c>
      <c r="F37" s="7"/>
      <c r="G37" s="7"/>
    </row>
    <row r="38" spans="1:7">
      <c r="A38" s="11" t="s">
        <v>55</v>
      </c>
      <c r="B38" s="11" t="s">
        <v>56</v>
      </c>
      <c r="C38" s="11">
        <v>1</v>
      </c>
      <c r="D38" s="12">
        <v>11712</v>
      </c>
      <c r="E38" s="12">
        <f t="shared" si="0"/>
        <v>11712</v>
      </c>
      <c r="F38" s="7"/>
      <c r="G38" s="7"/>
    </row>
    <row r="39" spans="1:7">
      <c r="A39" s="7" t="s">
        <v>28</v>
      </c>
      <c r="B39" s="7"/>
      <c r="C39" s="7"/>
      <c r="D39" s="9"/>
      <c r="E39" s="9"/>
      <c r="F39" s="7"/>
      <c r="G39" s="7"/>
    </row>
    <row r="40" spans="1:7">
      <c r="A40" s="7" t="s">
        <v>57</v>
      </c>
      <c r="B40" s="7" t="s">
        <v>58</v>
      </c>
      <c r="C40" s="7">
        <v>1</v>
      </c>
      <c r="D40" s="9">
        <v>208024</v>
      </c>
      <c r="E40" s="9">
        <f t="shared" si="0"/>
        <v>208024</v>
      </c>
      <c r="F40" s="7"/>
      <c r="G40" s="7"/>
    </row>
    <row r="41" spans="1:7">
      <c r="A41" s="7" t="s">
        <v>116</v>
      </c>
      <c r="B41" s="8" t="s">
        <v>117</v>
      </c>
      <c r="C41" s="8">
        <v>1</v>
      </c>
      <c r="D41" s="10">
        <v>3518</v>
      </c>
      <c r="E41" s="10">
        <f t="shared" si="0"/>
        <v>3518</v>
      </c>
      <c r="F41" s="7"/>
      <c r="G41" s="7"/>
    </row>
    <row r="42" spans="1:7">
      <c r="A42" s="7" t="s">
        <v>59</v>
      </c>
      <c r="B42" s="7" t="s">
        <v>60</v>
      </c>
      <c r="C42" s="7">
        <v>1</v>
      </c>
      <c r="D42" s="9">
        <v>74358</v>
      </c>
      <c r="E42" s="9">
        <f t="shared" si="0"/>
        <v>74358</v>
      </c>
      <c r="F42" s="7"/>
      <c r="G42" s="7"/>
    </row>
    <row r="43" spans="1:7">
      <c r="A43" s="7" t="s">
        <v>61</v>
      </c>
      <c r="B43" s="7" t="s">
        <v>62</v>
      </c>
      <c r="C43" s="7">
        <v>1</v>
      </c>
      <c r="D43" s="9">
        <v>201302</v>
      </c>
      <c r="E43" s="9">
        <f t="shared" si="0"/>
        <v>201302</v>
      </c>
      <c r="F43" s="7"/>
      <c r="G43" s="7"/>
    </row>
    <row r="44" spans="1:7">
      <c r="A44" s="7" t="s">
        <v>45</v>
      </c>
      <c r="B44" s="7" t="s">
        <v>44</v>
      </c>
      <c r="C44" s="7">
        <v>1</v>
      </c>
      <c r="D44" s="9">
        <v>113265</v>
      </c>
      <c r="E44" s="9">
        <f t="shared" si="0"/>
        <v>113265</v>
      </c>
      <c r="F44" s="7"/>
      <c r="G44" s="7"/>
    </row>
    <row r="45" spans="1:7">
      <c r="A45" s="7" t="s">
        <v>46</v>
      </c>
      <c r="B45" s="7" t="s">
        <v>47</v>
      </c>
      <c r="C45" s="7">
        <v>1</v>
      </c>
      <c r="D45" s="9">
        <v>5912</v>
      </c>
      <c r="E45" s="9">
        <f t="shared" si="0"/>
        <v>5912</v>
      </c>
      <c r="F45" s="7"/>
      <c r="G45" s="7"/>
    </row>
    <row r="46" spans="1:7">
      <c r="A46" s="7" t="s">
        <v>63</v>
      </c>
      <c r="B46" s="7" t="s">
        <v>36</v>
      </c>
      <c r="C46" s="7">
        <v>1</v>
      </c>
      <c r="D46" s="9">
        <v>4277</v>
      </c>
      <c r="E46" s="9">
        <f t="shared" si="0"/>
        <v>4277</v>
      </c>
      <c r="F46" s="7"/>
      <c r="G46" s="7"/>
    </row>
    <row r="47" spans="1:7">
      <c r="A47" s="7" t="s">
        <v>25</v>
      </c>
      <c r="B47" s="7" t="s">
        <v>81</v>
      </c>
      <c r="C47" s="7">
        <v>1</v>
      </c>
      <c r="D47" s="9">
        <v>32665</v>
      </c>
      <c r="E47" s="9">
        <f t="shared" si="0"/>
        <v>32665</v>
      </c>
      <c r="F47" s="7"/>
      <c r="G47" s="7"/>
    </row>
    <row r="48" spans="1:7">
      <c r="A48" s="7" t="s">
        <v>26</v>
      </c>
      <c r="B48" s="7" t="s">
        <v>27</v>
      </c>
      <c r="C48" s="7">
        <v>1</v>
      </c>
      <c r="D48" s="9">
        <v>19116</v>
      </c>
      <c r="E48" s="9">
        <f t="shared" si="0"/>
        <v>19116</v>
      </c>
      <c r="F48" s="7"/>
      <c r="G48" s="7"/>
    </row>
    <row r="49" spans="1:7">
      <c r="A49" s="7" t="s">
        <v>64</v>
      </c>
      <c r="B49" s="7" t="s">
        <v>65</v>
      </c>
      <c r="C49" s="7">
        <v>1</v>
      </c>
      <c r="D49" s="9">
        <v>3043</v>
      </c>
      <c r="E49" s="9">
        <f t="shared" si="0"/>
        <v>3043</v>
      </c>
      <c r="F49" s="7"/>
      <c r="G49" s="7"/>
    </row>
    <row r="50" spans="1:7">
      <c r="A50" s="7" t="s">
        <v>66</v>
      </c>
      <c r="B50" s="7" t="s">
        <v>67</v>
      </c>
      <c r="C50" s="7">
        <v>1</v>
      </c>
      <c r="D50" s="9">
        <v>14089</v>
      </c>
      <c r="E50" s="9">
        <f t="shared" si="0"/>
        <v>14089</v>
      </c>
      <c r="F50" s="7"/>
      <c r="G50" s="7"/>
    </row>
    <row r="51" spans="1:7">
      <c r="A51" s="7" t="s">
        <v>68</v>
      </c>
      <c r="B51" s="7" t="s">
        <v>69</v>
      </c>
      <c r="C51" s="7">
        <v>1</v>
      </c>
      <c r="D51" s="9">
        <v>27688</v>
      </c>
      <c r="E51" s="9">
        <f t="shared" si="0"/>
        <v>27688</v>
      </c>
      <c r="F51" s="7"/>
      <c r="G51" s="7"/>
    </row>
    <row r="52" spans="1:7">
      <c r="A52" s="7" t="s">
        <v>108</v>
      </c>
      <c r="B52" s="8" t="s">
        <v>109</v>
      </c>
      <c r="C52" s="8">
        <v>1</v>
      </c>
      <c r="D52" s="10">
        <v>26553</v>
      </c>
      <c r="E52" s="10">
        <f t="shared" si="0"/>
        <v>26553</v>
      </c>
      <c r="F52" s="8" t="s">
        <v>114</v>
      </c>
      <c r="G52" s="7"/>
    </row>
    <row r="53" spans="1:7">
      <c r="A53" s="8" t="s">
        <v>110</v>
      </c>
      <c r="B53" s="8" t="s">
        <v>111</v>
      </c>
      <c r="C53" s="8">
        <v>1</v>
      </c>
      <c r="D53" s="10">
        <v>26553</v>
      </c>
      <c r="E53" s="10">
        <f t="shared" si="0"/>
        <v>26553</v>
      </c>
      <c r="F53" s="8" t="s">
        <v>114</v>
      </c>
      <c r="G53" s="7"/>
    </row>
    <row r="54" spans="1:7">
      <c r="A54" s="8" t="s">
        <v>112</v>
      </c>
      <c r="B54" s="8" t="s">
        <v>113</v>
      </c>
      <c r="C54" s="8">
        <v>1</v>
      </c>
      <c r="D54" s="10">
        <v>26553</v>
      </c>
      <c r="E54" s="10">
        <f t="shared" si="0"/>
        <v>26553</v>
      </c>
      <c r="F54" s="8" t="s">
        <v>114</v>
      </c>
      <c r="G54" s="7"/>
    </row>
    <row r="55" spans="1:7">
      <c r="A55" s="7" t="s">
        <v>70</v>
      </c>
      <c r="B55" s="7" t="s">
        <v>71</v>
      </c>
      <c r="C55" s="7">
        <v>2</v>
      </c>
      <c r="D55" s="9">
        <v>4163</v>
      </c>
      <c r="E55" s="9">
        <f t="shared" si="0"/>
        <v>8326</v>
      </c>
      <c r="F55" s="7"/>
      <c r="G55" s="7"/>
    </row>
    <row r="56" spans="1:7">
      <c r="A56" s="7" t="s">
        <v>72</v>
      </c>
      <c r="B56" s="7" t="s">
        <v>73</v>
      </c>
      <c r="C56" s="7">
        <v>1</v>
      </c>
      <c r="D56" s="9">
        <v>135804</v>
      </c>
      <c r="E56" s="9">
        <f t="shared" si="0"/>
        <v>135804</v>
      </c>
      <c r="F56" s="7"/>
      <c r="G56" s="7"/>
    </row>
    <row r="57" spans="1:7">
      <c r="A57" s="6" t="s">
        <v>105</v>
      </c>
      <c r="B57" s="7" t="s">
        <v>74</v>
      </c>
      <c r="C57" s="7">
        <v>1</v>
      </c>
      <c r="D57" s="9">
        <v>2259</v>
      </c>
      <c r="E57" s="9">
        <f t="shared" si="0"/>
        <v>2259</v>
      </c>
      <c r="F57" s="7"/>
      <c r="G57" s="7"/>
    </row>
    <row r="58" spans="1:7">
      <c r="A58" s="7" t="s">
        <v>91</v>
      </c>
      <c r="B58" s="7" t="s">
        <v>75</v>
      </c>
      <c r="C58" s="7">
        <v>1</v>
      </c>
      <c r="D58" s="9">
        <v>4796</v>
      </c>
      <c r="E58" s="9">
        <f t="shared" si="0"/>
        <v>4796</v>
      </c>
      <c r="F58" s="7"/>
      <c r="G58" s="7"/>
    </row>
    <row r="59" spans="1:7">
      <c r="A59" s="7" t="s">
        <v>76</v>
      </c>
      <c r="B59" s="7" t="s">
        <v>78</v>
      </c>
      <c r="C59" s="7">
        <v>1</v>
      </c>
      <c r="D59" s="9">
        <v>4344</v>
      </c>
      <c r="E59" s="9">
        <f t="shared" si="0"/>
        <v>4344</v>
      </c>
      <c r="F59" s="7" t="s">
        <v>93</v>
      </c>
      <c r="G59" s="7"/>
    </row>
    <row r="60" spans="1:7">
      <c r="A60" s="7" t="s">
        <v>97</v>
      </c>
      <c r="B60" s="7" t="s">
        <v>77</v>
      </c>
      <c r="C60" s="7">
        <v>1</v>
      </c>
      <c r="D60" s="9">
        <v>3046</v>
      </c>
      <c r="E60" s="9">
        <f t="shared" si="0"/>
        <v>3046</v>
      </c>
      <c r="F60" s="7" t="s">
        <v>92</v>
      </c>
      <c r="G60" s="7"/>
    </row>
    <row r="61" spans="1:7">
      <c r="A61" s="7" t="s">
        <v>94</v>
      </c>
      <c r="B61" s="7" t="s">
        <v>74</v>
      </c>
      <c r="C61" s="7">
        <v>1</v>
      </c>
      <c r="D61" s="9">
        <v>1928</v>
      </c>
      <c r="E61" s="9">
        <f t="shared" si="0"/>
        <v>1928</v>
      </c>
      <c r="F61" s="7" t="s">
        <v>92</v>
      </c>
      <c r="G61" s="7"/>
    </row>
    <row r="62" spans="1:7">
      <c r="A62" s="7" t="s">
        <v>95</v>
      </c>
      <c r="B62" s="7" t="s">
        <v>74</v>
      </c>
      <c r="C62" s="7">
        <v>1</v>
      </c>
      <c r="D62" s="9">
        <v>2252</v>
      </c>
      <c r="E62" s="9">
        <f t="shared" si="0"/>
        <v>2252</v>
      </c>
      <c r="F62" s="7" t="s">
        <v>92</v>
      </c>
      <c r="G62" s="7"/>
    </row>
    <row r="63" spans="1:7">
      <c r="A63" s="11" t="s">
        <v>79</v>
      </c>
      <c r="B63" s="11" t="s">
        <v>80</v>
      </c>
      <c r="C63" s="11">
        <v>1</v>
      </c>
      <c r="D63" s="12">
        <v>387877</v>
      </c>
      <c r="E63" s="12">
        <f t="shared" si="0"/>
        <v>387877</v>
      </c>
      <c r="F63" s="7"/>
      <c r="G63" s="7"/>
    </row>
    <row r="64" spans="1:7">
      <c r="A64" s="7" t="s">
        <v>98</v>
      </c>
      <c r="B64" s="7"/>
      <c r="C64" s="7"/>
      <c r="D64" s="10"/>
      <c r="E64" s="10"/>
      <c r="F64" s="7"/>
      <c r="G64" s="7"/>
    </row>
    <row r="65" spans="1:7">
      <c r="A65" s="7" t="s">
        <v>99</v>
      </c>
      <c r="B65" s="7" t="s">
        <v>100</v>
      </c>
      <c r="C65" s="7">
        <v>1</v>
      </c>
      <c r="D65" s="10">
        <v>14682</v>
      </c>
      <c r="E65" s="10">
        <f>C65*D65</f>
        <v>14682</v>
      </c>
      <c r="F65" s="7" t="s">
        <v>102</v>
      </c>
      <c r="G65" s="7"/>
    </row>
    <row r="66" spans="1:7">
      <c r="A66" s="7" t="s">
        <v>120</v>
      </c>
      <c r="B66" s="7" t="s">
        <v>121</v>
      </c>
      <c r="C66" s="7">
        <v>1</v>
      </c>
      <c r="D66" s="10">
        <v>662</v>
      </c>
      <c r="E66" s="10">
        <v>662</v>
      </c>
      <c r="F66" s="7" t="s">
        <v>102</v>
      </c>
      <c r="G66" s="7"/>
    </row>
    <row r="67" spans="1:7">
      <c r="A67" s="7" t="s">
        <v>103</v>
      </c>
      <c r="B67" s="7" t="s">
        <v>104</v>
      </c>
      <c r="C67" s="7">
        <v>1</v>
      </c>
      <c r="D67" s="10">
        <v>5269</v>
      </c>
      <c r="E67" s="10">
        <f>C67*D67</f>
        <v>5269</v>
      </c>
      <c r="F67" s="7"/>
      <c r="G67" s="7"/>
    </row>
    <row r="68" spans="1:7">
      <c r="A68" s="7" t="s">
        <v>118</v>
      </c>
      <c r="B68" s="7" t="s">
        <v>119</v>
      </c>
      <c r="C68" s="7">
        <v>1</v>
      </c>
      <c r="D68" s="10">
        <v>4566</v>
      </c>
      <c r="E68" s="10">
        <v>4566</v>
      </c>
      <c r="F68" s="7" t="s">
        <v>93</v>
      </c>
      <c r="G68" s="7"/>
    </row>
    <row r="69" spans="1:7">
      <c r="A69" s="7"/>
      <c r="B69" s="7" t="s">
        <v>101</v>
      </c>
      <c r="C69" s="7"/>
      <c r="D69" s="9"/>
      <c r="E69" s="9"/>
      <c r="F69" s="7"/>
      <c r="G69" s="7"/>
    </row>
    <row r="70" spans="1:7">
      <c r="D70" s="1"/>
      <c r="E70" s="1"/>
    </row>
    <row r="71" spans="1:7">
      <c r="D71" s="1"/>
      <c r="E71" s="1"/>
    </row>
    <row r="72" spans="1:7">
      <c r="D72" s="1"/>
      <c r="E72" s="1"/>
    </row>
    <row r="73" spans="1:7">
      <c r="D73" s="1"/>
      <c r="E73" s="1"/>
    </row>
    <row r="74" spans="1:7">
      <c r="D74" s="1"/>
      <c r="E74" s="1"/>
    </row>
    <row r="75" spans="1:7">
      <c r="D75" s="1"/>
      <c r="E75" s="1"/>
    </row>
    <row r="76" spans="1:7">
      <c r="D76" s="1"/>
      <c r="E76" s="1"/>
    </row>
    <row r="77" spans="1:7">
      <c r="D77" s="1"/>
      <c r="E77" s="1"/>
    </row>
    <row r="78" spans="1:7">
      <c r="D78" s="1"/>
      <c r="E78" s="1"/>
    </row>
    <row r="79" spans="1:7">
      <c r="D79" s="1"/>
      <c r="E79" s="1"/>
    </row>
    <row r="80" spans="1:7">
      <c r="D80" s="1"/>
      <c r="E80" s="1"/>
    </row>
    <row r="81" spans="4:5">
      <c r="D81" s="1"/>
      <c r="E81" s="1"/>
    </row>
    <row r="82" spans="4:5">
      <c r="D82" s="1"/>
      <c r="E82" s="1"/>
    </row>
    <row r="83" spans="4:5">
      <c r="D83" s="1"/>
      <c r="E83" s="1"/>
    </row>
    <row r="84" spans="4:5">
      <c r="D84" s="1"/>
      <c r="E84" s="1"/>
    </row>
    <row r="85" spans="4:5">
      <c r="D85" s="1"/>
      <c r="E85" s="1"/>
    </row>
    <row r="86" spans="4:5">
      <c r="D86" s="1"/>
      <c r="E86" s="1"/>
    </row>
    <row r="87" spans="4:5">
      <c r="D87" s="1"/>
      <c r="E87" s="1"/>
    </row>
    <row r="88" spans="4:5">
      <c r="D88" s="1"/>
      <c r="E88" s="1"/>
    </row>
    <row r="89" spans="4:5">
      <c r="D89" s="1"/>
      <c r="E89" s="1"/>
    </row>
    <row r="90" spans="4:5">
      <c r="D90" s="1"/>
      <c r="E90" s="1"/>
    </row>
    <row r="91" spans="4:5">
      <c r="D91" s="1"/>
      <c r="E91" s="1"/>
    </row>
    <row r="92" spans="4:5">
      <c r="D92" s="1"/>
      <c r="E92" s="1"/>
    </row>
    <row r="93" spans="4:5">
      <c r="D93" s="1"/>
      <c r="E93" s="1"/>
    </row>
    <row r="94" spans="4:5">
      <c r="D94" s="1"/>
      <c r="E94" s="1"/>
    </row>
    <row r="95" spans="4:5">
      <c r="D95" s="1"/>
      <c r="E95" s="1"/>
    </row>
    <row r="96" spans="4:5">
      <c r="D96" s="1"/>
      <c r="E96" s="1"/>
    </row>
    <row r="97" spans="4:5">
      <c r="D97" s="1"/>
      <c r="E97" s="1"/>
    </row>
    <row r="98" spans="4:5">
      <c r="D98" s="1"/>
      <c r="E98" s="1"/>
    </row>
    <row r="99" spans="4:5">
      <c r="D99" s="1"/>
      <c r="E99" s="1"/>
    </row>
    <row r="100" spans="4:5">
      <c r="D100" s="1"/>
      <c r="E100" s="1"/>
    </row>
    <row r="101" spans="4:5">
      <c r="D101" s="1"/>
      <c r="E101" s="1"/>
    </row>
    <row r="102" spans="4:5">
      <c r="D102" s="1"/>
      <c r="E102" s="1"/>
    </row>
    <row r="103" spans="4:5">
      <c r="D103" s="1"/>
      <c r="E103" s="1"/>
    </row>
    <row r="104" spans="4:5">
      <c r="D104" s="1"/>
      <c r="E104" s="1"/>
    </row>
    <row r="105" spans="4:5">
      <c r="D105" s="1"/>
      <c r="E105" s="1"/>
    </row>
    <row r="106" spans="4:5">
      <c r="D106" s="1"/>
      <c r="E106" s="1"/>
    </row>
    <row r="107" spans="4:5">
      <c r="D107" s="1"/>
      <c r="E107" s="1"/>
    </row>
    <row r="108" spans="4:5">
      <c r="D108" s="1"/>
      <c r="E108" s="1"/>
    </row>
    <row r="109" spans="4:5">
      <c r="D109" s="1"/>
      <c r="E109" s="1"/>
    </row>
    <row r="110" spans="4:5">
      <c r="D110" s="1"/>
      <c r="E110" s="1"/>
    </row>
    <row r="111" spans="4:5">
      <c r="D111" s="1"/>
      <c r="E111" s="1"/>
    </row>
    <row r="112" spans="4:5">
      <c r="D112" s="1"/>
      <c r="E112" s="1"/>
    </row>
    <row r="113" spans="4:5">
      <c r="D113" s="1"/>
      <c r="E113" s="1"/>
    </row>
    <row r="114" spans="4:5">
      <c r="D114" s="1"/>
      <c r="E114" s="1"/>
    </row>
    <row r="115" spans="4:5">
      <c r="D115" s="1"/>
      <c r="E115" s="1"/>
    </row>
    <row r="116" spans="4:5">
      <c r="D116" s="1"/>
      <c r="E116" s="1"/>
    </row>
    <row r="117" spans="4:5">
      <c r="D117" s="1"/>
      <c r="E117" s="1"/>
    </row>
    <row r="118" spans="4:5">
      <c r="D118" s="1"/>
      <c r="E118" s="1"/>
    </row>
    <row r="119" spans="4:5">
      <c r="D119" s="1"/>
      <c r="E119" s="1"/>
    </row>
    <row r="120" spans="4:5">
      <c r="D120" s="1"/>
      <c r="E120" s="1"/>
    </row>
    <row r="121" spans="4:5">
      <c r="D121" s="1"/>
      <c r="E121" s="1"/>
    </row>
    <row r="122" spans="4:5">
      <c r="D122" s="1"/>
      <c r="E122" s="1"/>
    </row>
    <row r="123" spans="4:5">
      <c r="D123" s="1"/>
      <c r="E123" s="1"/>
    </row>
    <row r="124" spans="4:5">
      <c r="D124" s="1"/>
      <c r="E124" s="1"/>
    </row>
    <row r="125" spans="4:5">
      <c r="D125" s="1"/>
      <c r="E125" s="1"/>
    </row>
    <row r="126" spans="4:5">
      <c r="D126" s="1"/>
      <c r="E126" s="1"/>
    </row>
    <row r="127" spans="4:5">
      <c r="D127" s="1"/>
      <c r="E127" s="1"/>
    </row>
    <row r="128" spans="4:5">
      <c r="D128" s="1"/>
      <c r="E128" s="1"/>
    </row>
    <row r="129" spans="4:5">
      <c r="D129" s="1"/>
      <c r="E129" s="1"/>
    </row>
    <row r="130" spans="4:5">
      <c r="D130" s="1"/>
      <c r="E130" s="1"/>
    </row>
    <row r="131" spans="4:5">
      <c r="D131" s="1"/>
      <c r="E131" s="1"/>
    </row>
    <row r="132" spans="4:5">
      <c r="D132" s="1"/>
      <c r="E132" s="1"/>
    </row>
    <row r="133" spans="4:5">
      <c r="D133" s="1"/>
      <c r="E133" s="1"/>
    </row>
    <row r="134" spans="4:5">
      <c r="D134" s="1"/>
      <c r="E134" s="1"/>
    </row>
    <row r="135" spans="4:5">
      <c r="D135" s="1"/>
      <c r="E135" s="1"/>
    </row>
    <row r="136" spans="4:5">
      <c r="D136" s="1"/>
      <c r="E136" s="1"/>
    </row>
    <row r="137" spans="4:5">
      <c r="D137" s="1"/>
      <c r="E137" s="1"/>
    </row>
    <row r="138" spans="4:5">
      <c r="D138" s="1"/>
      <c r="E138" s="1"/>
    </row>
    <row r="139" spans="4:5">
      <c r="D139" s="1"/>
      <c r="E139" s="1"/>
    </row>
    <row r="140" spans="4:5">
      <c r="D140" s="1"/>
      <c r="E140" s="1"/>
    </row>
    <row r="141" spans="4:5">
      <c r="D141" s="1"/>
      <c r="E141" s="1"/>
    </row>
    <row r="142" spans="4:5">
      <c r="D142" s="1"/>
      <c r="E142" s="1"/>
    </row>
    <row r="143" spans="4:5">
      <c r="D143" s="1"/>
      <c r="E143" s="1"/>
    </row>
    <row r="144" spans="4:5">
      <c r="D144" s="1"/>
      <c r="E144" s="1"/>
    </row>
    <row r="145" spans="4:5">
      <c r="D145" s="1"/>
      <c r="E145" s="1"/>
    </row>
    <row r="146" spans="4:5">
      <c r="D146" s="1"/>
      <c r="E146" s="1"/>
    </row>
    <row r="147" spans="4:5">
      <c r="D147" s="1"/>
      <c r="E147" s="1"/>
    </row>
    <row r="148" spans="4:5">
      <c r="D148" s="1"/>
      <c r="E148" s="1"/>
    </row>
    <row r="149" spans="4:5">
      <c r="D149" s="1"/>
      <c r="E149" s="1"/>
    </row>
    <row r="150" spans="4:5">
      <c r="D150" s="1"/>
      <c r="E150" s="1"/>
    </row>
    <row r="151" spans="4:5">
      <c r="D151" s="1"/>
      <c r="E151" s="1"/>
    </row>
    <row r="152" spans="4:5">
      <c r="D152" s="1"/>
      <c r="E152" s="1"/>
    </row>
    <row r="153" spans="4:5">
      <c r="D153" s="1"/>
      <c r="E153" s="1"/>
    </row>
    <row r="154" spans="4:5">
      <c r="D154" s="1"/>
      <c r="E154" s="1"/>
    </row>
    <row r="155" spans="4:5">
      <c r="D155" s="1"/>
      <c r="E155" s="1"/>
    </row>
    <row r="156" spans="4:5">
      <c r="D156" s="1"/>
      <c r="E156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Y</dc:creator>
  <cp:lastModifiedBy>Kohei OTOMO</cp:lastModifiedBy>
  <dcterms:created xsi:type="dcterms:W3CDTF">2025-05-24T09:22:22Z</dcterms:created>
  <dcterms:modified xsi:type="dcterms:W3CDTF">2026-03-23T05:04:46Z</dcterms:modified>
</cp:coreProperties>
</file>